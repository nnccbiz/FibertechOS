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\\10.0.5.1\Public\Fibertech\FibertechUsers\תקיה משותפת\ספקי צנרת\AMIBLU\ISKOOR\"/>
    </mc:Choice>
  </mc:AlternateContent>
  <xr:revisionPtr revIDLastSave="0" documentId="8_{67452449-BDCA-A547-9864-2CACE16431C2}" xr6:coauthVersionLast="47" xr6:coauthVersionMax="47" xr10:uidLastSave="{00000000-0000-0000-0000-000000000000}"/>
  <bookViews>
    <workbookView xWindow="0" yWindow="0" windowWidth="20460" windowHeight="6315" xr2:uid="{00000000-000D-0000-FFFF-FFFF00000000}"/>
  </bookViews>
  <sheets>
    <sheet name="ISKOOR" sheetId="1" r:id="rId1"/>
  </sheets>
  <definedNames>
    <definedName name="_xlnm._FilterDatabase" localSheetId="0" hidden="1">ISKOOR!$B$2:$AC$28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31" i="1"/>
  <c r="O30" i="1"/>
  <c r="O31" i="1"/>
  <c r="P30" i="1"/>
  <c r="P31" i="1"/>
  <c r="Q30" i="1"/>
  <c r="Q31" i="1"/>
  <c r="R30" i="1"/>
  <c r="R31" i="1"/>
  <c r="S30" i="1"/>
  <c r="S31" i="1"/>
  <c r="T30" i="1"/>
  <c r="T31" i="1"/>
  <c r="U30" i="1"/>
  <c r="U31" i="1"/>
  <c r="V30" i="1"/>
  <c r="V31" i="1"/>
  <c r="M30" i="1"/>
  <c r="M31" i="1"/>
  <c r="L30" i="1"/>
  <c r="L31" i="1"/>
</calcChain>
</file>

<file path=xl/sharedStrings.xml><?xml version="1.0" encoding="utf-8"?>
<sst xmlns="http://schemas.openxmlformats.org/spreadsheetml/2006/main" count="73" uniqueCount="73">
  <si>
    <t>DN</t>
  </si>
  <si>
    <t>Invoice no.</t>
  </si>
  <si>
    <t>Invoice value</t>
  </si>
  <si>
    <t>Container no.</t>
  </si>
  <si>
    <t>ETA</t>
  </si>
  <si>
    <t xml:space="preserve">ת.מ רכש </t>
  </si>
  <si>
    <t>COA1</t>
  </si>
  <si>
    <t>COA2</t>
  </si>
  <si>
    <t>COA3</t>
  </si>
  <si>
    <t>COA4</t>
  </si>
  <si>
    <t>COA5</t>
  </si>
  <si>
    <t>COA6</t>
  </si>
  <si>
    <t>DN900</t>
  </si>
  <si>
    <t>DN500</t>
  </si>
  <si>
    <t>DN1280 standard</t>
  </si>
  <si>
    <t>DN1280 w/nozzles</t>
  </si>
  <si>
    <t>DN1280 first pipes</t>
  </si>
  <si>
    <t>DN1000 standard</t>
  </si>
  <si>
    <t>DN1000 w/nozzles</t>
  </si>
  <si>
    <t>DN1000 first pipes</t>
  </si>
  <si>
    <t>DN750 standard</t>
  </si>
  <si>
    <t>DN750 w/nozzles</t>
  </si>
  <si>
    <t>DN750 first pipes</t>
  </si>
  <si>
    <t>LOT1</t>
  </si>
  <si>
    <t>TCNU 1724048    </t>
  </si>
  <si>
    <t>MRSU3896495      </t>
  </si>
  <si>
    <t>MRKU2517188</t>
  </si>
  <si>
    <t xml:space="preserve">TRHU 6226993    </t>
  </si>
  <si>
    <t>HASU 1243697     </t>
  </si>
  <si>
    <t>Ordered quantity</t>
  </si>
  <si>
    <t xml:space="preserve">delivered </t>
  </si>
  <si>
    <t xml:space="preserve">to be delivered </t>
  </si>
  <si>
    <t>TLLU5280678</t>
  </si>
  <si>
    <t>UETU6645884</t>
  </si>
  <si>
    <t>MSKU9895155</t>
  </si>
  <si>
    <t>TRHU4149305</t>
  </si>
  <si>
    <t>BL</t>
  </si>
  <si>
    <t>Date of INV</t>
  </si>
  <si>
    <t xml:space="preserve"> תאריך שחרור </t>
  </si>
  <si>
    <t xml:space="preserve"> DN500</t>
  </si>
  <si>
    <t>DN0900</t>
  </si>
  <si>
    <t>שורה 10</t>
  </si>
  <si>
    <t>שורה 11</t>
  </si>
  <si>
    <t>שורה 1</t>
  </si>
  <si>
    <t>שורה 2</t>
  </si>
  <si>
    <t xml:space="preserve">שורה 3 </t>
  </si>
  <si>
    <t>שורה 4</t>
  </si>
  <si>
    <t>שורה 7</t>
  </si>
  <si>
    <t>Flowtite pipes Gdańsk</t>
  </si>
  <si>
    <t>HOBAS Jacking pipes Dąbrowa Górnicza</t>
  </si>
  <si>
    <t xml:space="preserve">תאריך אספקה ללקוח </t>
  </si>
  <si>
    <t>SUDU7629416</t>
  </si>
  <si>
    <t>TCNU2820072</t>
  </si>
  <si>
    <t>MRKU4973422</t>
  </si>
  <si>
    <t>MSKU1701090</t>
  </si>
  <si>
    <t>SUDU8528420</t>
  </si>
  <si>
    <t>MRSU6628217</t>
  </si>
  <si>
    <t>MSKU1303028</t>
  </si>
  <si>
    <t>MSKU9126546</t>
  </si>
  <si>
    <t>CAAU9785953</t>
  </si>
  <si>
    <t>MRKU3709605</t>
  </si>
  <si>
    <r>
      <t>LOT</t>
    </r>
    <r>
      <rPr>
        <b/>
        <sz val="11"/>
        <color theme="1"/>
        <rFont val="Arial"/>
        <family val="2"/>
        <scheme val="minor"/>
      </rPr>
      <t>3a</t>
    </r>
  </si>
  <si>
    <t>Lot 3b</t>
  </si>
  <si>
    <t>LOT 4</t>
  </si>
  <si>
    <t>LOT5</t>
  </si>
  <si>
    <t>GAOU7664208</t>
  </si>
  <si>
    <t>GAOU7183183</t>
  </si>
  <si>
    <t>MRSU5508114</t>
  </si>
  <si>
    <t>TCLU4961175</t>
  </si>
  <si>
    <t>GAOU7084180</t>
  </si>
  <si>
    <t xml:space="preserve">סופק </t>
  </si>
  <si>
    <t xml:space="preserve">LOT2
229746 </t>
  </si>
  <si>
    <t>השתחרר  10/03/26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</si>
</sst>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ptos"/>
      <charset val="177"/>
    </font>
    <font>
      <b/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07">
    <xf numFmtId="0" fontId="0" fillId="0" borderId="0" xfId="0"/>
    <xf numFmtId="0" fontId="1" fillId="0" borderId="12" xfId="1" applyBorder="1" applyAlignment="1">
      <alignment vertical="center" wrapText="1"/>
    </xf>
    <xf numFmtId="0" fontId="1" fillId="0" borderId="0" xfId="1"/>
    <xf numFmtId="0" fontId="1" fillId="0" borderId="3" xfId="1" applyBorder="1"/>
    <xf numFmtId="0" fontId="1" fillId="0" borderId="0" xfId="1"/>
    <xf numFmtId="0" fontId="1" fillId="0" borderId="1" xfId="1" applyBorder="1"/>
    <xf numFmtId="4" fontId="1" fillId="0" borderId="1" xfId="1" applyNumberFormat="1" applyBorder="1"/>
    <xf numFmtId="4" fontId="1" fillId="0" borderId="2" xfId="1" applyNumberFormat="1" applyBorder="1"/>
    <xf numFmtId="0" fontId="1" fillId="0" borderId="24" xfId="1" applyBorder="1"/>
    <xf numFmtId="0" fontId="1" fillId="0" borderId="25" xfId="1" applyBorder="1"/>
    <xf numFmtId="14" fontId="1" fillId="0" borderId="15" xfId="1" applyNumberFormat="1" applyBorder="1"/>
    <xf numFmtId="0" fontId="1" fillId="0" borderId="12" xfId="1" applyBorder="1"/>
    <xf numFmtId="0" fontId="0" fillId="0" borderId="1" xfId="0" applyBorder="1"/>
    <xf numFmtId="0" fontId="0" fillId="2" borderId="1" xfId="0" applyFill="1" applyBorder="1"/>
    <xf numFmtId="0" fontId="1" fillId="3" borderId="13" xfId="1" applyFill="1" applyBorder="1" applyAlignment="1">
      <alignment horizontal="center" vertical="top" wrapText="1"/>
    </xf>
    <xf numFmtId="0" fontId="1" fillId="3" borderId="14" xfId="1" applyFill="1" applyBorder="1" applyAlignment="1">
      <alignment horizontal="center" vertical="top" wrapText="1"/>
    </xf>
    <xf numFmtId="0" fontId="1" fillId="3" borderId="27" xfId="1" applyFill="1" applyBorder="1" applyAlignment="1">
      <alignment horizontal="center" vertical="top" wrapText="1"/>
    </xf>
    <xf numFmtId="0" fontId="1" fillId="4" borderId="6" xfId="1" applyFill="1" applyBorder="1" applyAlignment="1">
      <alignment horizontal="center"/>
    </xf>
    <xf numFmtId="164" fontId="0" fillId="0" borderId="1" xfId="0" applyNumberFormat="1" applyBorder="1"/>
    <xf numFmtId="0" fontId="1" fillId="5" borderId="1" xfId="1" applyFill="1" applyBorder="1"/>
    <xf numFmtId="0" fontId="1" fillId="7" borderId="1" xfId="1" applyFill="1" applyBorder="1"/>
    <xf numFmtId="0" fontId="1" fillId="5" borderId="5" xfId="1" applyFill="1" applyBorder="1"/>
    <xf numFmtId="0" fontId="1" fillId="5" borderId="29" xfId="1" applyFill="1" applyBorder="1"/>
    <xf numFmtId="0" fontId="1" fillId="4" borderId="32" xfId="1" applyFill="1" applyBorder="1" applyAlignment="1">
      <alignment horizontal="center"/>
    </xf>
    <xf numFmtId="0" fontId="1" fillId="6" borderId="16" xfId="1" applyFill="1" applyBorder="1" applyAlignment="1">
      <alignment horizontal="center" vertical="top" wrapText="1"/>
    </xf>
    <xf numFmtId="0" fontId="1" fillId="6" borderId="6" xfId="1" applyFill="1" applyBorder="1" applyAlignment="1">
      <alignment horizontal="center" vertical="top" wrapText="1"/>
    </xf>
    <xf numFmtId="0" fontId="6" fillId="0" borderId="9" xfId="1" applyFont="1" applyBorder="1"/>
    <xf numFmtId="0" fontId="6" fillId="0" borderId="15" xfId="1" applyFont="1" applyBorder="1"/>
    <xf numFmtId="0" fontId="1" fillId="5" borderId="17" xfId="1" applyFill="1" applyBorder="1"/>
    <xf numFmtId="0" fontId="1" fillId="5" borderId="7" xfId="1" applyFill="1" applyBorder="1"/>
    <xf numFmtId="0" fontId="1" fillId="5" borderId="10" xfId="1" applyFill="1" applyBorder="1"/>
    <xf numFmtId="0" fontId="1" fillId="5" borderId="30" xfId="1" applyFill="1" applyBorder="1"/>
    <xf numFmtId="0" fontId="1" fillId="6" borderId="14" xfId="1" applyFill="1" applyBorder="1" applyAlignment="1">
      <alignment horizontal="center" vertical="top" wrapText="1"/>
    </xf>
    <xf numFmtId="0" fontId="1" fillId="6" borderId="29" xfId="1" applyFill="1" applyBorder="1"/>
    <xf numFmtId="0" fontId="4" fillId="0" borderId="2" xfId="2" applyBorder="1"/>
    <xf numFmtId="164" fontId="0" fillId="0" borderId="21" xfId="0" applyNumberFormat="1" applyBorder="1"/>
    <xf numFmtId="164" fontId="0" fillId="0" borderId="28" xfId="0" applyNumberFormat="1" applyBorder="1"/>
    <xf numFmtId="164" fontId="0" fillId="0" borderId="35" xfId="0" applyNumberFormat="1" applyBorder="1"/>
    <xf numFmtId="164" fontId="0" fillId="0" borderId="0" xfId="0" applyNumberFormat="1" applyBorder="1"/>
    <xf numFmtId="0" fontId="1" fillId="4" borderId="36" xfId="1" applyFill="1" applyBorder="1" applyAlignment="1">
      <alignment horizontal="center"/>
    </xf>
    <xf numFmtId="0" fontId="4" fillId="0" borderId="21" xfId="2" applyBorder="1"/>
    <xf numFmtId="4" fontId="1" fillId="0" borderId="21" xfId="1" applyNumberFormat="1" applyBorder="1"/>
    <xf numFmtId="0" fontId="6" fillId="0" borderId="37" xfId="1" applyFont="1" applyBorder="1"/>
    <xf numFmtId="0" fontId="0" fillId="9" borderId="1" xfId="0" applyFill="1" applyBorder="1"/>
    <xf numFmtId="4" fontId="0" fillId="9" borderId="1" xfId="0" applyNumberFormat="1" applyFill="1" applyBorder="1"/>
    <xf numFmtId="14" fontId="1" fillId="0" borderId="39" xfId="1" applyNumberFormat="1" applyBorder="1"/>
    <xf numFmtId="0" fontId="1" fillId="0" borderId="38" xfId="1" applyBorder="1"/>
    <xf numFmtId="164" fontId="0" fillId="0" borderId="2" xfId="0" applyNumberFormat="1" applyBorder="1"/>
    <xf numFmtId="14" fontId="0" fillId="9" borderId="1" xfId="0" applyNumberFormat="1" applyFill="1" applyBorder="1"/>
    <xf numFmtId="14" fontId="0" fillId="9" borderId="21" xfId="0" applyNumberFormat="1" applyFill="1" applyBorder="1"/>
    <xf numFmtId="0" fontId="0" fillId="9" borderId="21" xfId="0" applyFill="1" applyBorder="1"/>
    <xf numFmtId="4" fontId="0" fillId="9" borderId="21" xfId="0" applyNumberFormat="1" applyFill="1" applyBorder="1"/>
    <xf numFmtId="0" fontId="0" fillId="10" borderId="1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2" borderId="21" xfId="0" applyFill="1" applyBorder="1"/>
    <xf numFmtId="0" fontId="0" fillId="2" borderId="21" xfId="0" applyFill="1" applyBorder="1" applyAlignment="1">
      <alignment wrapText="1"/>
    </xf>
    <xf numFmtId="0" fontId="1" fillId="0" borderId="2" xfId="1" applyBorder="1"/>
    <xf numFmtId="0" fontId="0" fillId="9" borderId="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4" fontId="0" fillId="11" borderId="7" xfId="0" applyNumberFormat="1" applyFill="1" applyBorder="1"/>
    <xf numFmtId="0" fontId="0" fillId="11" borderId="7" xfId="0" applyFill="1" applyBorder="1"/>
    <xf numFmtId="4" fontId="0" fillId="11" borderId="7" xfId="0" applyNumberFormat="1" applyFill="1" applyBorder="1"/>
    <xf numFmtId="0" fontId="2" fillId="11" borderId="8" xfId="0" applyFont="1" applyFill="1" applyBorder="1"/>
    <xf numFmtId="164" fontId="0" fillId="11" borderId="1" xfId="0" applyNumberFormat="1" applyFill="1" applyBorder="1"/>
    <xf numFmtId="14" fontId="0" fillId="11" borderId="1" xfId="0" applyNumberFormat="1" applyFill="1" applyBorder="1"/>
    <xf numFmtId="0" fontId="0" fillId="11" borderId="1" xfId="0" applyFill="1" applyBorder="1"/>
    <xf numFmtId="4" fontId="0" fillId="11" borderId="1" xfId="0" applyNumberFormat="1" applyFill="1" applyBorder="1"/>
    <xf numFmtId="0" fontId="2" fillId="11" borderId="9" xfId="0" applyFont="1" applyFill="1" applyBorder="1"/>
    <xf numFmtId="164" fontId="0" fillId="11" borderId="10" xfId="0" applyNumberFormat="1" applyFill="1" applyBorder="1"/>
    <xf numFmtId="14" fontId="0" fillId="11" borderId="10" xfId="0" applyNumberFormat="1" applyFill="1" applyBorder="1"/>
    <xf numFmtId="0" fontId="0" fillId="11" borderId="10" xfId="0" applyFill="1" applyBorder="1"/>
    <xf numFmtId="4" fontId="0" fillId="11" borderId="10" xfId="0" applyNumberFormat="1" applyFill="1" applyBorder="1"/>
    <xf numFmtId="0" fontId="2" fillId="11" borderId="11" xfId="0" applyFont="1" applyFill="1" applyBorder="1"/>
    <xf numFmtId="0" fontId="8" fillId="8" borderId="16" xfId="2" applyFont="1" applyFill="1" applyBorder="1" applyAlignment="1">
      <alignment horizontal="center" vertical="center"/>
    </xf>
    <xf numFmtId="0" fontId="4" fillId="8" borderId="41" xfId="2" applyFill="1" applyBorder="1" applyAlignment="1">
      <alignment horizontal="center" vertical="center"/>
    </xf>
    <xf numFmtId="164" fontId="0" fillId="11" borderId="7" xfId="0" applyNumberFormat="1" applyFill="1" applyBorder="1" applyAlignment="1"/>
    <xf numFmtId="14" fontId="1" fillId="10" borderId="7" xfId="1" applyNumberFormat="1" applyFill="1" applyBorder="1"/>
    <xf numFmtId="0" fontId="1" fillId="10" borderId="7" xfId="1" applyFill="1" applyBorder="1"/>
    <xf numFmtId="4" fontId="1" fillId="10" borderId="7" xfId="1" applyNumberFormat="1" applyFill="1" applyBorder="1"/>
    <xf numFmtId="0" fontId="2" fillId="10" borderId="7" xfId="1" applyFont="1" applyFill="1" applyBorder="1"/>
    <xf numFmtId="14" fontId="1" fillId="10" borderId="1" xfId="1" applyNumberFormat="1" applyFill="1" applyBorder="1"/>
    <xf numFmtId="0" fontId="1" fillId="10" borderId="1" xfId="1" applyFill="1" applyBorder="1"/>
    <xf numFmtId="0" fontId="1" fillId="10" borderId="2" xfId="1" applyFill="1" applyBorder="1"/>
    <xf numFmtId="4" fontId="1" fillId="10" borderId="1" xfId="1" applyNumberFormat="1" applyFill="1" applyBorder="1"/>
    <xf numFmtId="0" fontId="2" fillId="10" borderId="1" xfId="1" applyFont="1" applyFill="1" applyBorder="1"/>
    <xf numFmtId="14" fontId="1" fillId="10" borderId="10" xfId="1" applyNumberFormat="1" applyFill="1" applyBorder="1"/>
    <xf numFmtId="0" fontId="1" fillId="10" borderId="10" xfId="1" applyFill="1" applyBorder="1"/>
    <xf numFmtId="4" fontId="1" fillId="10" borderId="10" xfId="1" applyNumberFormat="1" applyFill="1" applyBorder="1"/>
    <xf numFmtId="0" fontId="2" fillId="10" borderId="10" xfId="1" applyFont="1" applyFill="1" applyBorder="1"/>
    <xf numFmtId="164" fontId="0" fillId="12" borderId="41" xfId="0" applyNumberFormat="1" applyFill="1" applyBorder="1" applyAlignment="1">
      <alignment horizontal="center" vertical="center"/>
    </xf>
    <xf numFmtId="14" fontId="1" fillId="12" borderId="7" xfId="1" applyNumberFormat="1" applyFill="1" applyBorder="1"/>
    <xf numFmtId="0" fontId="1" fillId="12" borderId="7" xfId="1" applyFill="1" applyBorder="1"/>
    <xf numFmtId="4" fontId="1" fillId="12" borderId="7" xfId="1" applyNumberFormat="1" applyFill="1" applyBorder="1"/>
    <xf numFmtId="0" fontId="3" fillId="12" borderId="8" xfId="1" applyFont="1" applyFill="1" applyBorder="1"/>
    <xf numFmtId="0" fontId="5" fillId="12" borderId="23" xfId="1" applyFont="1" applyFill="1" applyBorder="1" applyAlignment="1">
      <alignment horizontal="center"/>
    </xf>
    <xf numFmtId="0" fontId="5" fillId="12" borderId="8" xfId="1" applyFont="1" applyFill="1" applyBorder="1" applyAlignment="1">
      <alignment horizontal="center"/>
    </xf>
    <xf numFmtId="0" fontId="1" fillId="12" borderId="4" xfId="1" applyFill="1" applyBorder="1"/>
    <xf numFmtId="0" fontId="1" fillId="12" borderId="2" xfId="1" applyFill="1" applyBorder="1"/>
    <xf numFmtId="0" fontId="1" fillId="12" borderId="28" xfId="1" applyFill="1" applyBorder="1"/>
    <xf numFmtId="0" fontId="0" fillId="12" borderId="1" xfId="0" applyFill="1" applyBorder="1"/>
    <xf numFmtId="0" fontId="4" fillId="12" borderId="1" xfId="2" applyFill="1" applyBorder="1"/>
    <xf numFmtId="0" fontId="0" fillId="12" borderId="0" xfId="0" applyFill="1"/>
    <xf numFmtId="164" fontId="0" fillId="12" borderId="31" xfId="0" applyNumberFormat="1" applyFill="1" applyBorder="1" applyAlignment="1">
      <alignment horizontal="center" vertical="center"/>
    </xf>
    <xf numFmtId="14" fontId="1" fillId="12" borderId="1" xfId="1" applyNumberFormat="1" applyFill="1" applyBorder="1"/>
    <xf numFmtId="0" fontId="1" fillId="12" borderId="1" xfId="1" applyFill="1" applyBorder="1"/>
    <xf numFmtId="4" fontId="1" fillId="12" borderId="1" xfId="1" applyNumberFormat="1" applyFill="1" applyBorder="1"/>
    <xf numFmtId="0" fontId="3" fillId="12" borderId="9" xfId="1" applyFont="1" applyFill="1" applyBorder="1"/>
    <xf numFmtId="0" fontId="5" fillId="12" borderId="24" xfId="1" applyFont="1" applyFill="1" applyBorder="1" applyAlignment="1">
      <alignment horizontal="center"/>
    </xf>
    <xf numFmtId="0" fontId="5" fillId="12" borderId="9" xfId="1" applyFont="1" applyFill="1" applyBorder="1" applyAlignment="1">
      <alignment horizontal="center"/>
    </xf>
    <xf numFmtId="0" fontId="1" fillId="12" borderId="5" xfId="1" applyFill="1" applyBorder="1"/>
    <xf numFmtId="0" fontId="1" fillId="12" borderId="29" xfId="1" applyFill="1" applyBorder="1"/>
    <xf numFmtId="0" fontId="2" fillId="12" borderId="9" xfId="1" applyFont="1" applyFill="1" applyBorder="1"/>
    <xf numFmtId="164" fontId="0" fillId="12" borderId="2" xfId="0" applyNumberFormat="1" applyFill="1" applyBorder="1" applyAlignment="1">
      <alignment horizontal="center" vertical="center"/>
    </xf>
    <xf numFmtId="0" fontId="4" fillId="12" borderId="10" xfId="2" applyFill="1" applyBorder="1"/>
    <xf numFmtId="164" fontId="0" fillId="12" borderId="10" xfId="0" applyNumberFormat="1" applyFill="1" applyBorder="1"/>
    <xf numFmtId="14" fontId="1" fillId="12" borderId="10" xfId="1" applyNumberFormat="1" applyFill="1" applyBorder="1"/>
    <xf numFmtId="0" fontId="1" fillId="12" borderId="10" xfId="1" applyFill="1" applyBorder="1"/>
    <xf numFmtId="4" fontId="1" fillId="12" borderId="10" xfId="1" applyNumberFormat="1" applyFill="1" applyBorder="1"/>
    <xf numFmtId="0" fontId="3" fillId="12" borderId="11" xfId="1" applyFont="1" applyFill="1" applyBorder="1"/>
    <xf numFmtId="0" fontId="5" fillId="12" borderId="26" xfId="1" applyFont="1" applyFill="1" applyBorder="1" applyAlignment="1">
      <alignment horizontal="center"/>
    </xf>
    <xf numFmtId="0" fontId="5" fillId="12" borderId="11" xfId="1" applyFont="1" applyFill="1" applyBorder="1" applyAlignment="1">
      <alignment horizontal="center"/>
    </xf>
    <xf numFmtId="0" fontId="1" fillId="0" borderId="1" xfId="1" applyBorder="1"/>
    <xf numFmtId="0" fontId="1" fillId="0" borderId="7" xfId="1" applyBorder="1"/>
    <xf numFmtId="0" fontId="1" fillId="0" borderId="10" xfId="1" applyBorder="1"/>
    <xf numFmtId="0" fontId="1" fillId="6" borderId="1" xfId="1" applyFill="1" applyBorder="1"/>
    <xf numFmtId="0" fontId="1" fillId="6" borderId="7" xfId="1" applyFill="1" applyBorder="1"/>
    <xf numFmtId="0" fontId="1" fillId="13" borderId="1" xfId="1" applyFill="1" applyBorder="1"/>
    <xf numFmtId="0" fontId="2" fillId="9" borderId="29" xfId="0" applyFont="1" applyFill="1" applyBorder="1"/>
    <xf numFmtId="0" fontId="1" fillId="8" borderId="7" xfId="1" applyFill="1" applyBorder="1"/>
    <xf numFmtId="0" fontId="1" fillId="8" borderId="1" xfId="1" applyFill="1" applyBorder="1"/>
    <xf numFmtId="0" fontId="2" fillId="9" borderId="43" xfId="0" applyFont="1" applyFill="1" applyBorder="1"/>
    <xf numFmtId="0" fontId="1" fillId="5" borderId="22" xfId="1" applyFill="1" applyBorder="1"/>
    <xf numFmtId="0" fontId="1" fillId="5" borderId="21" xfId="1" applyFill="1" applyBorder="1"/>
    <xf numFmtId="0" fontId="1" fillId="6" borderId="21" xfId="1" applyFill="1" applyBorder="1"/>
    <xf numFmtId="0" fontId="1" fillId="5" borderId="43" xfId="1" applyFill="1" applyBorder="1"/>
    <xf numFmtId="0" fontId="1" fillId="5" borderId="9" xfId="1" applyFill="1" applyBorder="1"/>
    <xf numFmtId="0" fontId="1" fillId="5" borderId="11" xfId="1" applyFill="1" applyBorder="1"/>
    <xf numFmtId="0" fontId="1" fillId="5" borderId="8" xfId="1" applyFill="1" applyBorder="1"/>
    <xf numFmtId="0" fontId="0" fillId="5" borderId="17" xfId="0" applyFill="1" applyBorder="1"/>
    <xf numFmtId="0" fontId="0" fillId="5" borderId="7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18" xfId="0" applyFill="1" applyBorder="1"/>
    <xf numFmtId="0" fontId="0" fillId="5" borderId="10" xfId="0" applyFill="1" applyBorder="1"/>
    <xf numFmtId="164" fontId="0" fillId="9" borderId="29" xfId="0" applyNumberFormat="1" applyFill="1" applyBorder="1"/>
    <xf numFmtId="164" fontId="0" fillId="9" borderId="43" xfId="0" applyNumberFormat="1" applyFill="1" applyBorder="1"/>
    <xf numFmtId="164" fontId="7" fillId="8" borderId="44" xfId="0" applyNumberFormat="1" applyFont="1" applyFill="1" applyBorder="1"/>
    <xf numFmtId="0" fontId="0" fillId="9" borderId="7" xfId="0" applyFill="1" applyBorder="1"/>
    <xf numFmtId="14" fontId="0" fillId="9" borderId="7" xfId="0" applyNumberFormat="1" applyFill="1" applyBorder="1"/>
    <xf numFmtId="4" fontId="0" fillId="9" borderId="7" xfId="0" applyNumberFormat="1" applyFill="1" applyBorder="1"/>
    <xf numFmtId="0" fontId="2" fillId="9" borderId="30" xfId="0" applyFont="1" applyFill="1" applyBorder="1"/>
    <xf numFmtId="164" fontId="7" fillId="8" borderId="13" xfId="0" applyNumberFormat="1" applyFont="1" applyFill="1" applyBorder="1"/>
    <xf numFmtId="0" fontId="7" fillId="8" borderId="14" xfId="0" applyFont="1" applyFill="1" applyBorder="1" applyAlignment="1">
      <alignment horizontal="center" vertical="center"/>
    </xf>
    <xf numFmtId="14" fontId="7" fillId="8" borderId="14" xfId="0" applyNumberFormat="1" applyFont="1" applyFill="1" applyBorder="1"/>
    <xf numFmtId="0" fontId="7" fillId="8" borderId="14" xfId="0" applyFont="1" applyFill="1" applyBorder="1"/>
    <xf numFmtId="4" fontId="7" fillId="8" borderId="14" xfId="0" applyNumberFormat="1" applyFont="1" applyFill="1" applyBorder="1"/>
    <xf numFmtId="0" fontId="3" fillId="8" borderId="27" xfId="0" applyFont="1" applyFill="1" applyBorder="1"/>
    <xf numFmtId="0" fontId="1" fillId="8" borderId="10" xfId="1" applyFill="1" applyBorder="1"/>
    <xf numFmtId="164" fontId="0" fillId="10" borderId="30" xfId="0" applyNumberFormat="1" applyFill="1" applyBorder="1" applyAlignment="1"/>
    <xf numFmtId="164" fontId="0" fillId="10" borderId="29" xfId="0" applyNumberFormat="1" applyFill="1" applyBorder="1" applyAlignment="1"/>
    <xf numFmtId="164" fontId="0" fillId="10" borderId="43" xfId="0" applyNumberFormat="1" applyFill="1" applyBorder="1" applyAlignment="1"/>
    <xf numFmtId="0" fontId="0" fillId="10" borderId="10" xfId="0" applyFill="1" applyBorder="1" applyAlignment="1">
      <alignment vertical="center"/>
    </xf>
    <xf numFmtId="0" fontId="9" fillId="12" borderId="42" xfId="0" applyFont="1" applyFill="1" applyBorder="1" applyAlignment="1">
      <alignment horizontal="center" textRotation="255"/>
    </xf>
    <xf numFmtId="0" fontId="10" fillId="0" borderId="42" xfId="0" applyFont="1" applyBorder="1" applyAlignment="1">
      <alignment horizontal="center" vertical="center" wrapText="1"/>
    </xf>
    <xf numFmtId="0" fontId="1" fillId="0" borderId="33" xfId="1" applyBorder="1" applyAlignment="1">
      <alignment horizontal="center"/>
    </xf>
    <xf numFmtId="0" fontId="1" fillId="0" borderId="32" xfId="1" applyBorder="1" applyAlignment="1">
      <alignment horizontal="center"/>
    </xf>
    <xf numFmtId="0" fontId="4" fillId="12" borderId="16" xfId="2" applyFill="1" applyBorder="1" applyAlignment="1">
      <alignment horizontal="center" vertical="center"/>
    </xf>
    <xf numFmtId="0" fontId="4" fillId="12" borderId="19" xfId="2" applyFill="1" applyBorder="1" applyAlignment="1">
      <alignment horizontal="center" vertical="center"/>
    </xf>
    <xf numFmtId="0" fontId="4" fillId="12" borderId="20" xfId="2" applyFill="1" applyBorder="1" applyAlignment="1">
      <alignment horizontal="center" vertical="center"/>
    </xf>
    <xf numFmtId="0" fontId="4" fillId="0" borderId="19" xfId="2" applyBorder="1" applyAlignment="1">
      <alignment horizontal="center" vertical="center" wrapText="1"/>
    </xf>
    <xf numFmtId="0" fontId="4" fillId="0" borderId="19" xfId="2" applyBorder="1" applyAlignment="1">
      <alignment horizontal="center" vertical="center"/>
    </xf>
    <xf numFmtId="0" fontId="4" fillId="0" borderId="31" xfId="2" applyBorder="1" applyAlignment="1">
      <alignment horizontal="center" vertical="center"/>
    </xf>
    <xf numFmtId="0" fontId="4" fillId="12" borderId="32" xfId="2" applyFill="1" applyBorder="1" applyAlignment="1">
      <alignment vertical="center"/>
    </xf>
    <xf numFmtId="0" fontId="4" fillId="12" borderId="0" xfId="2" applyFill="1" applyBorder="1" applyAlignment="1">
      <alignment vertical="center"/>
    </xf>
    <xf numFmtId="164" fontId="0" fillId="12" borderId="41" xfId="0" applyNumberFormat="1" applyFill="1" applyBorder="1" applyAlignment="1">
      <alignment horizontal="center" vertical="center"/>
    </xf>
    <xf numFmtId="164" fontId="0" fillId="12" borderId="31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4" fillId="9" borderId="1" xfId="2" applyFill="1" applyBorder="1" applyAlignment="1">
      <alignment horizontal="center" vertical="center"/>
    </xf>
    <xf numFmtId="0" fontId="4" fillId="9" borderId="21" xfId="2" applyFill="1" applyBorder="1" applyAlignment="1">
      <alignment horizontal="center" vertical="center"/>
    </xf>
    <xf numFmtId="164" fontId="0" fillId="9" borderId="23" xfId="0" applyNumberFormat="1" applyFill="1" applyBorder="1" applyAlignment="1">
      <alignment horizontal="center" vertical="center"/>
    </xf>
    <xf numFmtId="164" fontId="0" fillId="9" borderId="24" xfId="0" applyNumberFormat="1" applyFill="1" applyBorder="1" applyAlignment="1">
      <alignment horizontal="center" vertical="center"/>
    </xf>
    <xf numFmtId="164" fontId="0" fillId="9" borderId="38" xfId="0" applyNumberFormat="1" applyFill="1" applyBorder="1" applyAlignment="1">
      <alignment horizontal="center" vertical="center"/>
    </xf>
    <xf numFmtId="0" fontId="1" fillId="6" borderId="12" xfId="1" applyFill="1" applyBorder="1" applyAlignment="1">
      <alignment horizontal="center"/>
    </xf>
    <xf numFmtId="0" fontId="1" fillId="6" borderId="34" xfId="1" applyFill="1" applyBorder="1" applyAlignment="1">
      <alignment horizontal="center"/>
    </xf>
    <xf numFmtId="0" fontId="4" fillId="10" borderId="16" xfId="2" applyFill="1" applyBorder="1" applyAlignment="1">
      <alignment horizontal="center" vertical="center"/>
    </xf>
    <xf numFmtId="0" fontId="4" fillId="10" borderId="19" xfId="2" applyFill="1" applyBorder="1" applyAlignment="1">
      <alignment horizontal="center" vertical="center"/>
    </xf>
    <xf numFmtId="0" fontId="4" fillId="10" borderId="20" xfId="2" applyFill="1" applyBorder="1" applyAlignment="1">
      <alignment horizontal="center" vertical="center"/>
    </xf>
    <xf numFmtId="0" fontId="4" fillId="10" borderId="41" xfId="2" applyFill="1" applyBorder="1" applyAlignment="1">
      <alignment horizontal="center" vertical="center"/>
    </xf>
    <xf numFmtId="0" fontId="4" fillId="10" borderId="31" xfId="2" applyFill="1" applyBorder="1" applyAlignment="1">
      <alignment horizontal="center" vertical="center"/>
    </xf>
    <xf numFmtId="0" fontId="4" fillId="10" borderId="40" xfId="2" applyFill="1" applyBorder="1" applyAlignment="1">
      <alignment horizontal="center" vertical="center"/>
    </xf>
    <xf numFmtId="164" fontId="0" fillId="10" borderId="16" xfId="0" applyNumberFormat="1" applyFill="1" applyBorder="1" applyAlignment="1">
      <alignment horizontal="center" vertical="center"/>
    </xf>
    <xf numFmtId="164" fontId="0" fillId="10" borderId="19" xfId="0" applyNumberFormat="1" applyFill="1" applyBorder="1" applyAlignment="1">
      <alignment horizontal="center" vertical="center"/>
    </xf>
    <xf numFmtId="164" fontId="0" fillId="10" borderId="20" xfId="0" applyNumberForma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4" fillId="11" borderId="41" xfId="2" applyFill="1" applyBorder="1" applyAlignment="1">
      <alignment horizontal="center" vertical="center"/>
    </xf>
    <xf numFmtId="0" fontId="4" fillId="11" borderId="31" xfId="2" applyFill="1" applyBorder="1" applyAlignment="1">
      <alignment horizontal="center" vertical="center"/>
    </xf>
    <xf numFmtId="0" fontId="4" fillId="11" borderId="40" xfId="2" applyFill="1" applyBorder="1" applyAlignment="1">
      <alignment horizontal="center" vertical="center"/>
    </xf>
    <xf numFmtId="164" fontId="0" fillId="11" borderId="41" xfId="0" applyNumberFormat="1" applyFill="1" applyBorder="1" applyAlignment="1">
      <alignment horizontal="center" vertical="center"/>
    </xf>
    <xf numFmtId="164" fontId="0" fillId="11" borderId="31" xfId="0" applyNumberFormat="1" applyFill="1" applyBorder="1" applyAlignment="1">
      <alignment horizontal="center" vertical="center"/>
    </xf>
    <xf numFmtId="164" fontId="0" fillId="11" borderId="40" xfId="0" applyNumberFormat="1" applyFill="1" applyBorder="1" applyAlignment="1">
      <alignment horizontal="center" vertical="center"/>
    </xf>
  </cellXfs>
  <cellStyles count="3">
    <cellStyle name="היפר-קישור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649604</xdr:colOff>
      <xdr:row>38</xdr:row>
      <xdr:rowOff>32086</xdr:rowOff>
    </xdr:from>
    <xdr:to>
      <xdr:col>20</xdr:col>
      <xdr:colOff>9525</xdr:colOff>
      <xdr:row>77</xdr:row>
      <xdr:rowOff>122575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929" y="13462336"/>
          <a:ext cx="11437621" cy="7148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LOT1\2022254241_19.12.2025%20EN.pdf" TargetMode="External"/><Relationship Id="rId13" Type="http://schemas.openxmlformats.org/officeDocument/2006/relationships/hyperlink" Target="LOT%204\BL%20Lot%204%20265129525.pdf" TargetMode="External"/><Relationship Id="rId3" Type="http://schemas.openxmlformats.org/officeDocument/2006/relationships/hyperlink" Target="LOT1\262995664_BL4.pdf" TargetMode="External"/><Relationship Id="rId7" Type="http://schemas.openxmlformats.org/officeDocument/2006/relationships/hyperlink" Target="LOT2\BL265128801%20.pdf" TargetMode="External"/><Relationship Id="rId12" Type="http://schemas.openxmlformats.org/officeDocument/2006/relationships/hyperlink" Target="LOT3\LOT3%20B\BL%20LOT%203b%20265567127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LOT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LOT1\262995800_BL%201.pdf" TargetMode="External"/><Relationship Id="rId6" Type="http://schemas.openxmlformats.org/officeDocument/2006/relationships/hyperlink" Target="LOT2" TargetMode="External"/><Relationship Id="rId11" Type="http://schemas.openxmlformats.org/officeDocument/2006/relationships/hyperlink" Target="LOT3\LOT3%20A\BL%20LOT%203a%20265129341%20.pdf" TargetMode="External"/><Relationship Id="rId5" Type="http://schemas.openxmlformats.org/officeDocument/2006/relationships/hyperlink" Target="LOT1\Inspection%20certificate%203.1%20DN0900-PN01-SN10000.pdf" TargetMode="External"/><Relationship Id="rId15" Type="http://schemas.openxmlformats.org/officeDocument/2006/relationships/hyperlink" Target="LOT%205\DB_aabhhbfhgdah0x056A.pdf" TargetMode="External"/><Relationship Id="rId10" Type="http://schemas.openxmlformats.org/officeDocument/2006/relationships/hyperlink" Target="LOT2\2022260191_27.01.2026%20EN.pdf" TargetMode="External"/><Relationship Id="rId4" Type="http://schemas.openxmlformats.org/officeDocument/2006/relationships/hyperlink" Target="LOT1\Inspection%20certificate%203.1%20DN0500-PN10-SN10000.pdf" TargetMode="External"/><Relationship Id="rId9" Type="http://schemas.openxmlformats.org/officeDocument/2006/relationships/hyperlink" Target="LOT2\2022260185_27.01.2026%20EN.pdf" TargetMode="External"/><Relationship Id="rId14" Type="http://schemas.openxmlformats.org/officeDocument/2006/relationships/hyperlink" Target="LOT%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32"/>
  <sheetViews>
    <sheetView tabSelected="1" topLeftCell="B1" workbookViewId="0">
      <selection activeCell="N35" sqref="N35"/>
    </sheetView>
  </sheetViews>
  <sheetFormatPr defaultRowHeight="13.5" x14ac:dyDescent="0.15"/>
  <cols>
    <col min="1" max="1" width="7.35546875" customWidth="1"/>
    <col min="3" max="3" width="12.37890625" customWidth="1"/>
    <col min="4" max="4" width="13.23828125" customWidth="1"/>
    <col min="7" max="7" width="9.9296875" bestFit="1" customWidth="1"/>
    <col min="8" max="9" width="10.91015625" bestFit="1" customWidth="1"/>
    <col min="10" max="10" width="11.27734375" bestFit="1" customWidth="1"/>
    <col min="11" max="11" width="16.671875" bestFit="1" customWidth="1"/>
  </cols>
  <sheetData>
    <row r="2" spans="1:29" ht="14.25" thickBot="1" x14ac:dyDescent="0.2"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T2" t="s">
        <v>47</v>
      </c>
    </row>
    <row r="3" spans="1:29" ht="14.25" thickBot="1" x14ac:dyDescent="0.2">
      <c r="L3" s="187" t="s">
        <v>48</v>
      </c>
      <c r="M3" s="188"/>
      <c r="N3" s="164" t="s">
        <v>49</v>
      </c>
      <c r="O3" s="165"/>
      <c r="P3" s="165"/>
      <c r="Q3" s="165"/>
      <c r="R3" s="165"/>
      <c r="S3" s="165"/>
      <c r="T3" s="165"/>
      <c r="U3" s="165"/>
      <c r="V3" s="165"/>
    </row>
    <row r="4" spans="1:29" ht="39.75" thickBot="1" x14ac:dyDescent="0.2">
      <c r="B4" s="2"/>
      <c r="C4" s="54" t="s">
        <v>36</v>
      </c>
      <c r="D4" s="54" t="s">
        <v>38</v>
      </c>
      <c r="E4" s="54" t="s">
        <v>4</v>
      </c>
      <c r="F4" s="55" t="s">
        <v>50</v>
      </c>
      <c r="G4" s="39" t="s">
        <v>37</v>
      </c>
      <c r="H4" s="17" t="s">
        <v>0</v>
      </c>
      <c r="I4" s="17" t="s">
        <v>1</v>
      </c>
      <c r="J4" s="17" t="s">
        <v>2</v>
      </c>
      <c r="K4" s="23" t="s">
        <v>3</v>
      </c>
      <c r="L4" s="24" t="s">
        <v>12</v>
      </c>
      <c r="M4" s="25" t="s">
        <v>13</v>
      </c>
      <c r="N4" s="14" t="s">
        <v>14</v>
      </c>
      <c r="O4" s="15" t="s">
        <v>15</v>
      </c>
      <c r="P4" s="15" t="s">
        <v>16</v>
      </c>
      <c r="Q4" s="32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6" t="s">
        <v>22</v>
      </c>
      <c r="W4" s="13" t="s">
        <v>5</v>
      </c>
      <c r="X4" s="13" t="s">
        <v>6</v>
      </c>
      <c r="Y4" s="13" t="s">
        <v>7</v>
      </c>
      <c r="Z4" s="13" t="s">
        <v>8</v>
      </c>
      <c r="AA4" s="13" t="s">
        <v>9</v>
      </c>
      <c r="AB4" s="13" t="s">
        <v>10</v>
      </c>
      <c r="AC4" s="13" t="s">
        <v>11</v>
      </c>
    </row>
    <row r="5" spans="1:29" ht="15" x14ac:dyDescent="0.2">
      <c r="A5" s="162" t="s">
        <v>70</v>
      </c>
      <c r="B5" s="166" t="s">
        <v>23</v>
      </c>
      <c r="C5" s="172">
        <v>262995664</v>
      </c>
      <c r="D5" s="174">
        <v>46063</v>
      </c>
      <c r="E5" s="174">
        <v>46050</v>
      </c>
      <c r="F5" s="89"/>
      <c r="G5" s="90">
        <v>46008</v>
      </c>
      <c r="H5" s="91">
        <v>1872252227</v>
      </c>
      <c r="I5" s="91">
        <v>2022254214</v>
      </c>
      <c r="J5" s="92">
        <v>8160.04</v>
      </c>
      <c r="K5" s="93" t="s">
        <v>24</v>
      </c>
      <c r="L5" s="94">
        <v>45.6</v>
      </c>
      <c r="M5" s="95"/>
      <c r="N5" s="96"/>
      <c r="O5" s="97"/>
      <c r="P5" s="97"/>
      <c r="Q5" s="97"/>
      <c r="R5" s="97"/>
      <c r="S5" s="97"/>
      <c r="T5" s="97"/>
      <c r="U5" s="97"/>
      <c r="V5" s="98"/>
      <c r="W5" s="99"/>
      <c r="X5" s="100" t="s">
        <v>39</v>
      </c>
      <c r="Y5" s="101"/>
      <c r="Z5" s="99"/>
      <c r="AA5" s="99"/>
      <c r="AB5" s="99"/>
      <c r="AC5" s="99"/>
    </row>
    <row r="6" spans="1:29" ht="15" x14ac:dyDescent="0.2">
      <c r="A6" s="162"/>
      <c r="B6" s="167"/>
      <c r="C6" s="173"/>
      <c r="D6" s="175"/>
      <c r="E6" s="175"/>
      <c r="F6" s="102"/>
      <c r="G6" s="103">
        <v>46008</v>
      </c>
      <c r="H6" s="104">
        <v>1872252228</v>
      </c>
      <c r="I6" s="104">
        <v>2022254225</v>
      </c>
      <c r="J6" s="105">
        <v>8160.04</v>
      </c>
      <c r="K6" s="106" t="s">
        <v>25</v>
      </c>
      <c r="L6" s="107">
        <v>45.6</v>
      </c>
      <c r="M6" s="108"/>
      <c r="N6" s="109"/>
      <c r="O6" s="104"/>
      <c r="P6" s="104"/>
      <c r="Q6" s="104"/>
      <c r="R6" s="104"/>
      <c r="S6" s="104"/>
      <c r="T6" s="104"/>
      <c r="U6" s="104"/>
      <c r="V6" s="110"/>
      <c r="W6" s="99"/>
      <c r="X6" s="99"/>
      <c r="Y6" s="99"/>
      <c r="Z6" s="99"/>
      <c r="AA6" s="99"/>
      <c r="AB6" s="99"/>
      <c r="AC6" s="99"/>
    </row>
    <row r="7" spans="1:29" ht="15" x14ac:dyDescent="0.2">
      <c r="A7" s="162"/>
      <c r="B7" s="167"/>
      <c r="C7" s="173"/>
      <c r="D7" s="175"/>
      <c r="E7" s="175"/>
      <c r="F7" s="102"/>
      <c r="G7" s="103">
        <v>46009</v>
      </c>
      <c r="H7" s="104">
        <v>1872252229</v>
      </c>
      <c r="I7" s="104">
        <v>2022254235</v>
      </c>
      <c r="J7" s="105">
        <v>8160.04</v>
      </c>
      <c r="K7" s="111" t="s">
        <v>26</v>
      </c>
      <c r="L7" s="107">
        <v>45.6</v>
      </c>
      <c r="M7" s="108"/>
      <c r="N7" s="109"/>
      <c r="O7" s="104"/>
      <c r="P7" s="104"/>
      <c r="Q7" s="104"/>
      <c r="R7" s="104"/>
      <c r="S7" s="104"/>
      <c r="T7" s="104"/>
      <c r="U7" s="104"/>
      <c r="V7" s="110"/>
      <c r="W7" s="99"/>
      <c r="X7" s="99"/>
      <c r="Y7" s="99"/>
      <c r="Z7" s="99"/>
      <c r="AA7" s="99"/>
      <c r="AB7" s="99"/>
      <c r="AC7" s="99"/>
    </row>
    <row r="8" spans="1:29" ht="15" x14ac:dyDescent="0.2">
      <c r="A8" s="162"/>
      <c r="B8" s="167"/>
      <c r="C8" s="173"/>
      <c r="D8" s="176"/>
      <c r="E8" s="176"/>
      <c r="F8" s="112"/>
      <c r="G8" s="103">
        <v>46010</v>
      </c>
      <c r="H8" s="104">
        <v>1872252230</v>
      </c>
      <c r="I8" s="100">
        <v>2022254241</v>
      </c>
      <c r="J8" s="105">
        <v>12366.64</v>
      </c>
      <c r="K8" s="106" t="s">
        <v>27</v>
      </c>
      <c r="L8" s="107">
        <v>22.8</v>
      </c>
      <c r="M8" s="108">
        <v>64</v>
      </c>
      <c r="N8" s="109"/>
      <c r="O8" s="104"/>
      <c r="P8" s="104"/>
      <c r="Q8" s="104"/>
      <c r="R8" s="104"/>
      <c r="S8" s="104"/>
      <c r="T8" s="104"/>
      <c r="U8" s="104"/>
      <c r="V8" s="110"/>
      <c r="W8" s="99"/>
      <c r="X8" s="99"/>
      <c r="Y8" s="100" t="s">
        <v>40</v>
      </c>
      <c r="Z8" s="99"/>
      <c r="AA8" s="99"/>
      <c r="AB8" s="99"/>
      <c r="AC8" s="99"/>
    </row>
    <row r="9" spans="1:29" ht="15.75" thickBot="1" x14ac:dyDescent="0.25">
      <c r="A9" s="162"/>
      <c r="B9" s="168"/>
      <c r="C9" s="113">
        <v>262995800</v>
      </c>
      <c r="D9" s="114">
        <v>46063</v>
      </c>
      <c r="E9" s="114">
        <v>46050</v>
      </c>
      <c r="F9" s="114"/>
      <c r="G9" s="115">
        <v>46010</v>
      </c>
      <c r="H9" s="116">
        <v>1872252231</v>
      </c>
      <c r="I9" s="116">
        <v>2022254243</v>
      </c>
      <c r="J9" s="117">
        <v>6369.2</v>
      </c>
      <c r="K9" s="118" t="s">
        <v>28</v>
      </c>
      <c r="L9" s="119"/>
      <c r="M9" s="120">
        <v>40</v>
      </c>
      <c r="N9" s="109"/>
      <c r="O9" s="104"/>
      <c r="P9" s="104"/>
      <c r="Q9" s="104"/>
      <c r="R9" s="104"/>
      <c r="S9" s="104"/>
      <c r="T9" s="104"/>
      <c r="U9" s="104"/>
      <c r="V9" s="110"/>
      <c r="W9" s="99"/>
      <c r="X9" s="99"/>
      <c r="Y9" s="99"/>
      <c r="Z9" s="99"/>
      <c r="AA9" s="99"/>
      <c r="AB9" s="99"/>
      <c r="AC9" s="99"/>
    </row>
    <row r="10" spans="1:29" ht="24" customHeight="1" x14ac:dyDescent="0.2">
      <c r="A10" s="163" t="s">
        <v>72</v>
      </c>
      <c r="B10" s="169" t="s">
        <v>71</v>
      </c>
      <c r="C10" s="171">
        <v>265128801</v>
      </c>
      <c r="D10" s="177">
        <v>46091</v>
      </c>
      <c r="E10" s="47"/>
      <c r="F10" s="36"/>
      <c r="G10" s="10">
        <v>46048</v>
      </c>
      <c r="H10" s="9">
        <v>1822260154</v>
      </c>
      <c r="I10" s="56">
        <v>2022260158</v>
      </c>
      <c r="J10" s="7">
        <v>27400.6</v>
      </c>
      <c r="K10" s="27" t="s">
        <v>32</v>
      </c>
      <c r="L10" s="28"/>
      <c r="M10" s="29"/>
      <c r="N10" s="29"/>
      <c r="O10" s="29"/>
      <c r="P10" s="29"/>
      <c r="Q10" s="125">
        <v>45.591999999999999</v>
      </c>
      <c r="R10" s="29"/>
      <c r="S10" s="29"/>
      <c r="T10" s="29"/>
      <c r="U10" s="29"/>
      <c r="V10" s="31"/>
      <c r="W10" s="12"/>
      <c r="X10" s="12"/>
      <c r="Y10" s="12"/>
      <c r="Z10" s="12"/>
      <c r="AA10" s="12"/>
      <c r="AB10" s="12"/>
      <c r="AC10" s="12"/>
    </row>
    <row r="11" spans="1:29" ht="15" x14ac:dyDescent="0.2">
      <c r="A11" s="163"/>
      <c r="B11" s="170"/>
      <c r="C11" s="171"/>
      <c r="D11" s="178"/>
      <c r="E11" s="18"/>
      <c r="F11" s="36"/>
      <c r="G11" s="10">
        <v>46048</v>
      </c>
      <c r="H11" s="8">
        <v>1822260153</v>
      </c>
      <c r="I11" s="5">
        <v>2022260179</v>
      </c>
      <c r="J11" s="6">
        <v>27405</v>
      </c>
      <c r="K11" s="26" t="s">
        <v>33</v>
      </c>
      <c r="L11" s="21"/>
      <c r="M11" s="19"/>
      <c r="N11" s="19"/>
      <c r="O11" s="19"/>
      <c r="P11" s="19"/>
      <c r="Q11" s="124">
        <v>45.6</v>
      </c>
      <c r="R11" s="19"/>
      <c r="S11" s="19"/>
      <c r="T11" s="19"/>
      <c r="U11" s="19"/>
      <c r="V11" s="22"/>
      <c r="W11" s="12"/>
      <c r="X11" s="12"/>
      <c r="Y11" s="12"/>
      <c r="Z11" s="12"/>
      <c r="AA11" s="12"/>
      <c r="AB11" s="12"/>
      <c r="AC11" s="12"/>
    </row>
    <row r="12" spans="1:29" ht="15" x14ac:dyDescent="0.2">
      <c r="A12" s="163"/>
      <c r="B12" s="170"/>
      <c r="C12" s="171"/>
      <c r="D12" s="178"/>
      <c r="E12" s="18">
        <v>46085</v>
      </c>
      <c r="F12" s="36"/>
      <c r="G12" s="10">
        <v>46049</v>
      </c>
      <c r="H12" s="9">
        <v>1822260156</v>
      </c>
      <c r="I12" s="34">
        <v>2022260185</v>
      </c>
      <c r="J12" s="7">
        <v>34440.61</v>
      </c>
      <c r="K12" s="27" t="s">
        <v>34</v>
      </c>
      <c r="L12" s="21"/>
      <c r="M12" s="19"/>
      <c r="N12" s="19"/>
      <c r="O12" s="19"/>
      <c r="P12" s="19"/>
      <c r="Q12" s="19"/>
      <c r="R12" s="19"/>
      <c r="S12" s="19"/>
      <c r="T12" s="124">
        <v>71.759</v>
      </c>
      <c r="U12" s="124">
        <v>5.9749999999999996</v>
      </c>
      <c r="V12" s="33">
        <v>2</v>
      </c>
      <c r="W12" s="12"/>
      <c r="X12" s="12"/>
      <c r="Y12" s="12"/>
      <c r="Z12" s="12"/>
      <c r="AA12" s="12"/>
      <c r="AB12" s="12"/>
      <c r="AC12" s="12"/>
    </row>
    <row r="13" spans="1:29" ht="15.75" thickBot="1" x14ac:dyDescent="0.25">
      <c r="A13" s="163"/>
      <c r="B13" s="170"/>
      <c r="C13" s="171"/>
      <c r="D13" s="179"/>
      <c r="E13" s="35"/>
      <c r="F13" s="37"/>
      <c r="G13" s="45">
        <v>46049</v>
      </c>
      <c r="H13" s="46">
        <v>1822260155</v>
      </c>
      <c r="I13" s="40">
        <v>2022260191</v>
      </c>
      <c r="J13" s="41">
        <v>31796.65</v>
      </c>
      <c r="K13" s="42" t="s">
        <v>35</v>
      </c>
      <c r="L13" s="131"/>
      <c r="M13" s="132"/>
      <c r="N13" s="132"/>
      <c r="O13" s="132"/>
      <c r="P13" s="132"/>
      <c r="Q13" s="133">
        <v>22.797999999999998</v>
      </c>
      <c r="R13" s="133">
        <v>17.079999999999998</v>
      </c>
      <c r="S13" s="133">
        <v>5.4969999999999999</v>
      </c>
      <c r="T13" s="132"/>
      <c r="U13" s="132"/>
      <c r="V13" s="134"/>
      <c r="W13" s="12"/>
      <c r="X13" s="12"/>
      <c r="Y13" s="12"/>
      <c r="Z13" s="12"/>
      <c r="AA13" s="12"/>
      <c r="AB13" s="12"/>
      <c r="AC13" s="12"/>
    </row>
    <row r="14" spans="1:29" ht="15" customHeight="1" x14ac:dyDescent="0.2">
      <c r="B14" s="180" t="s">
        <v>61</v>
      </c>
      <c r="C14" s="182">
        <v>265129341</v>
      </c>
      <c r="D14" s="144"/>
      <c r="E14" s="184">
        <v>46102</v>
      </c>
      <c r="F14" s="147"/>
      <c r="G14" s="148">
        <v>46064</v>
      </c>
      <c r="H14" s="147">
        <v>1822260363</v>
      </c>
      <c r="I14" s="147">
        <v>2022260398</v>
      </c>
      <c r="J14" s="149">
        <v>21229.279999999999</v>
      </c>
      <c r="K14" s="150" t="s">
        <v>52</v>
      </c>
      <c r="L14" s="29"/>
      <c r="M14" s="29"/>
      <c r="N14" s="128">
        <v>5.7</v>
      </c>
      <c r="O14" s="29"/>
      <c r="P14" s="29"/>
      <c r="Q14" s="128">
        <v>28.5</v>
      </c>
      <c r="R14" s="29"/>
      <c r="S14" s="29"/>
      <c r="T14" s="29"/>
      <c r="U14" s="29"/>
      <c r="V14" s="137"/>
      <c r="X14" s="12"/>
      <c r="Y14" s="12"/>
      <c r="Z14" s="12"/>
      <c r="AA14" s="12"/>
      <c r="AB14" s="12"/>
      <c r="AC14" s="12"/>
    </row>
    <row r="15" spans="1:29" ht="15" x14ac:dyDescent="0.2">
      <c r="B15" s="180"/>
      <c r="C15" s="182"/>
      <c r="D15" s="144"/>
      <c r="E15" s="185"/>
      <c r="F15" s="57"/>
      <c r="G15" s="48">
        <v>46064</v>
      </c>
      <c r="H15" s="43">
        <v>1822260364</v>
      </c>
      <c r="I15" s="43">
        <v>2022260400</v>
      </c>
      <c r="J15" s="44">
        <v>15242.12</v>
      </c>
      <c r="K15" s="127" t="s">
        <v>53</v>
      </c>
      <c r="L15" s="19"/>
      <c r="M15" s="19"/>
      <c r="N15" s="129">
        <v>22.8</v>
      </c>
      <c r="O15" s="19"/>
      <c r="P15" s="19"/>
      <c r="Q15" s="19"/>
      <c r="R15" s="19"/>
      <c r="S15" s="19"/>
      <c r="T15" s="19"/>
      <c r="U15" s="19"/>
      <c r="V15" s="135"/>
      <c r="X15" s="12"/>
      <c r="Y15" s="12"/>
      <c r="Z15" s="12"/>
      <c r="AA15" s="12"/>
      <c r="AB15" s="12"/>
      <c r="AC15" s="12"/>
    </row>
    <row r="16" spans="1:29" ht="15" x14ac:dyDescent="0.2">
      <c r="B16" s="180"/>
      <c r="C16" s="182"/>
      <c r="D16" s="144"/>
      <c r="E16" s="185"/>
      <c r="F16" s="57"/>
      <c r="G16" s="48">
        <v>46065</v>
      </c>
      <c r="H16" s="43">
        <v>1822260367</v>
      </c>
      <c r="I16" s="43">
        <v>2022260407</v>
      </c>
      <c r="J16" s="44">
        <v>16004.22</v>
      </c>
      <c r="K16" s="127" t="s">
        <v>54</v>
      </c>
      <c r="L16" s="19"/>
      <c r="M16" s="19"/>
      <c r="N16" s="129">
        <v>17.097000000000001</v>
      </c>
      <c r="O16" s="19"/>
      <c r="P16" s="129">
        <v>5.7</v>
      </c>
      <c r="Q16" s="19"/>
      <c r="R16" s="19"/>
      <c r="S16" s="19"/>
      <c r="T16" s="19"/>
      <c r="U16" s="19"/>
      <c r="V16" s="135"/>
      <c r="X16" s="12"/>
      <c r="Y16" s="12"/>
      <c r="Z16" s="12"/>
      <c r="AA16" s="12"/>
      <c r="AB16" s="12"/>
      <c r="AC16" s="12"/>
    </row>
    <row r="17" spans="2:29" ht="15.75" thickBot="1" x14ac:dyDescent="0.25">
      <c r="B17" s="181"/>
      <c r="C17" s="183"/>
      <c r="D17" s="145"/>
      <c r="E17" s="186"/>
      <c r="F17" s="58"/>
      <c r="G17" s="49">
        <v>46065</v>
      </c>
      <c r="H17" s="50">
        <v>1822260366</v>
      </c>
      <c r="I17" s="50">
        <v>2022260414</v>
      </c>
      <c r="J17" s="51">
        <v>15876.32</v>
      </c>
      <c r="K17" s="130" t="s">
        <v>55</v>
      </c>
      <c r="L17" s="19"/>
      <c r="M17" s="19"/>
      <c r="N17" s="129">
        <v>17.100000000000001</v>
      </c>
      <c r="O17" s="19"/>
      <c r="P17" s="129">
        <v>5.5149999999999997</v>
      </c>
      <c r="Q17" s="19"/>
      <c r="R17" s="19"/>
      <c r="S17" s="19"/>
      <c r="T17" s="19"/>
      <c r="U17" s="19"/>
      <c r="V17" s="135"/>
      <c r="X17" s="12"/>
      <c r="Y17" s="12"/>
      <c r="Z17" s="12"/>
      <c r="AA17" s="12"/>
      <c r="AB17" s="12"/>
      <c r="AC17" s="12"/>
    </row>
    <row r="18" spans="2:29" ht="15.75" thickBot="1" x14ac:dyDescent="0.25">
      <c r="B18" s="73" t="s">
        <v>62</v>
      </c>
      <c r="C18" s="74">
        <v>265567127</v>
      </c>
      <c r="D18" s="146"/>
      <c r="E18" s="151">
        <v>46102</v>
      </c>
      <c r="F18" s="152"/>
      <c r="G18" s="153">
        <v>46065</v>
      </c>
      <c r="H18" s="154">
        <v>1822260365</v>
      </c>
      <c r="I18" s="154">
        <v>2022260415</v>
      </c>
      <c r="J18" s="155">
        <v>9099.19</v>
      </c>
      <c r="K18" s="156" t="s">
        <v>51</v>
      </c>
      <c r="L18" s="30"/>
      <c r="M18" s="30"/>
      <c r="N18" s="30"/>
      <c r="O18" s="30"/>
      <c r="P18" s="30"/>
      <c r="Q18" s="30"/>
      <c r="R18" s="30"/>
      <c r="S18" s="30"/>
      <c r="T18" s="157">
        <v>17.943000000000001</v>
      </c>
      <c r="U18" s="30"/>
      <c r="V18" s="136"/>
      <c r="X18" s="12"/>
      <c r="Y18" s="12"/>
      <c r="Z18" s="12"/>
      <c r="AA18" s="12"/>
      <c r="AB18" s="12"/>
      <c r="AC18" s="12"/>
    </row>
    <row r="19" spans="2:29" ht="15" x14ac:dyDescent="0.2">
      <c r="B19" s="189" t="s">
        <v>63</v>
      </c>
      <c r="C19" s="192">
        <v>265129525</v>
      </c>
      <c r="D19" s="158"/>
      <c r="E19" s="195">
        <v>46107</v>
      </c>
      <c r="F19" s="53"/>
      <c r="G19" s="76">
        <v>46066</v>
      </c>
      <c r="H19" s="77">
        <v>1822260370</v>
      </c>
      <c r="I19" s="77">
        <v>2022260424</v>
      </c>
      <c r="J19" s="78">
        <v>16199.72</v>
      </c>
      <c r="K19" s="79" t="s">
        <v>56</v>
      </c>
      <c r="L19" s="29"/>
      <c r="M19" s="29"/>
      <c r="N19" s="77">
        <v>11.4</v>
      </c>
      <c r="O19" s="77">
        <v>11.4</v>
      </c>
      <c r="P19" s="29"/>
      <c r="Q19" s="29"/>
      <c r="R19" s="29"/>
      <c r="S19" s="29"/>
      <c r="T19" s="29"/>
      <c r="U19" s="29"/>
      <c r="V19" s="137"/>
      <c r="X19" s="12"/>
      <c r="Y19" s="12"/>
      <c r="Z19" s="12"/>
      <c r="AA19" s="12"/>
      <c r="AB19" s="12"/>
      <c r="AC19" s="12"/>
    </row>
    <row r="20" spans="2:29" ht="15" x14ac:dyDescent="0.2">
      <c r="B20" s="190"/>
      <c r="C20" s="193"/>
      <c r="D20" s="159"/>
      <c r="E20" s="196"/>
      <c r="F20" s="52"/>
      <c r="G20" s="80">
        <v>46066</v>
      </c>
      <c r="H20" s="81">
        <v>1822260369</v>
      </c>
      <c r="I20" s="82">
        <v>2022260425</v>
      </c>
      <c r="J20" s="83">
        <v>16005.92</v>
      </c>
      <c r="K20" s="84" t="s">
        <v>57</v>
      </c>
      <c r="L20" s="19"/>
      <c r="M20" s="19"/>
      <c r="N20" s="81">
        <v>17.100000000000001</v>
      </c>
      <c r="O20" s="81"/>
      <c r="P20" s="81">
        <v>5.7</v>
      </c>
      <c r="Q20" s="19"/>
      <c r="R20" s="19"/>
      <c r="S20" s="19"/>
      <c r="T20" s="19"/>
      <c r="U20" s="19"/>
      <c r="V20" s="135"/>
      <c r="X20" s="12"/>
      <c r="Y20" s="12"/>
      <c r="Z20" s="12"/>
      <c r="AA20" s="12"/>
      <c r="AB20" s="12"/>
      <c r="AC20" s="12"/>
    </row>
    <row r="21" spans="2:29" ht="15" x14ac:dyDescent="0.2">
      <c r="B21" s="190"/>
      <c r="C21" s="193"/>
      <c r="D21" s="159"/>
      <c r="E21" s="196"/>
      <c r="F21" s="52"/>
      <c r="G21" s="80">
        <v>46069</v>
      </c>
      <c r="H21" s="81">
        <v>1822260372</v>
      </c>
      <c r="I21" s="81">
        <v>2022260440</v>
      </c>
      <c r="J21" s="83">
        <v>16199.72</v>
      </c>
      <c r="K21" s="84" t="s">
        <v>58</v>
      </c>
      <c r="L21" s="19"/>
      <c r="M21" s="19"/>
      <c r="N21" s="81">
        <v>11.4</v>
      </c>
      <c r="O21" s="81">
        <v>11.4</v>
      </c>
      <c r="P21" s="19"/>
      <c r="Q21" s="19"/>
      <c r="R21" s="19"/>
      <c r="S21" s="19"/>
      <c r="T21" s="19"/>
      <c r="U21" s="19"/>
      <c r="V21" s="135"/>
      <c r="X21" s="12"/>
      <c r="Y21" s="12"/>
      <c r="Z21" s="12"/>
      <c r="AA21" s="12"/>
      <c r="AB21" s="12"/>
      <c r="AC21" s="12"/>
    </row>
    <row r="22" spans="2:29" ht="15" x14ac:dyDescent="0.2">
      <c r="B22" s="190"/>
      <c r="C22" s="193"/>
      <c r="D22" s="159"/>
      <c r="E22" s="196"/>
      <c r="F22" s="52"/>
      <c r="G22" s="80">
        <v>46069</v>
      </c>
      <c r="H22" s="81">
        <v>1822260371</v>
      </c>
      <c r="I22" s="81">
        <v>2022260442</v>
      </c>
      <c r="J22" s="83">
        <v>16195.59</v>
      </c>
      <c r="K22" s="84" t="s">
        <v>59</v>
      </c>
      <c r="L22" s="19"/>
      <c r="M22" s="19"/>
      <c r="N22" s="81">
        <v>11.395</v>
      </c>
      <c r="O22" s="81">
        <v>11.398</v>
      </c>
      <c r="P22" s="19"/>
      <c r="Q22" s="19"/>
      <c r="R22" s="19"/>
      <c r="S22" s="19"/>
      <c r="T22" s="19"/>
      <c r="U22" s="19"/>
      <c r="V22" s="135"/>
      <c r="X22" s="12"/>
      <c r="Y22" s="12"/>
      <c r="Z22" s="12"/>
      <c r="AA22" s="12"/>
      <c r="AB22" s="12"/>
      <c r="AC22" s="12"/>
    </row>
    <row r="23" spans="2:29" ht="15" x14ac:dyDescent="0.2">
      <c r="B23" s="190"/>
      <c r="C23" s="193"/>
      <c r="D23" s="159"/>
      <c r="E23" s="196"/>
      <c r="F23" s="52"/>
      <c r="G23" s="80">
        <v>46070</v>
      </c>
      <c r="H23" s="81">
        <v>1822260374</v>
      </c>
      <c r="I23" s="81">
        <v>2022260459</v>
      </c>
      <c r="J23" s="83">
        <v>16199.72</v>
      </c>
      <c r="K23" s="84" t="s">
        <v>60</v>
      </c>
      <c r="L23" s="19"/>
      <c r="M23" s="19"/>
      <c r="N23" s="81">
        <v>11.4</v>
      </c>
      <c r="O23" s="81">
        <v>11.4</v>
      </c>
      <c r="P23" s="19"/>
      <c r="Q23" s="19"/>
      <c r="R23" s="19"/>
      <c r="S23" s="19"/>
      <c r="T23" s="19"/>
      <c r="U23" s="19"/>
      <c r="V23" s="135"/>
      <c r="X23" s="12"/>
      <c r="Y23" s="12"/>
      <c r="Z23" s="12"/>
      <c r="AA23" s="12"/>
      <c r="AB23" s="12"/>
      <c r="AC23" s="12"/>
    </row>
    <row r="24" spans="2:29" ht="15.75" thickBot="1" x14ac:dyDescent="0.25">
      <c r="B24" s="191"/>
      <c r="C24" s="194"/>
      <c r="D24" s="160"/>
      <c r="E24" s="197"/>
      <c r="F24" s="161"/>
      <c r="G24" s="85">
        <v>46070</v>
      </c>
      <c r="H24" s="86">
        <v>1822260373</v>
      </c>
      <c r="I24" s="86">
        <v>2022260467</v>
      </c>
      <c r="J24" s="87">
        <v>16199.72</v>
      </c>
      <c r="K24" s="88" t="s">
        <v>69</v>
      </c>
      <c r="L24" s="30"/>
      <c r="M24" s="30"/>
      <c r="N24" s="86">
        <v>11.4</v>
      </c>
      <c r="O24" s="86">
        <v>11.4</v>
      </c>
      <c r="P24" s="30"/>
      <c r="Q24" s="30"/>
      <c r="R24" s="30"/>
      <c r="S24" s="30"/>
      <c r="T24" s="30"/>
      <c r="U24" s="30"/>
      <c r="V24" s="136"/>
      <c r="X24" s="12"/>
      <c r="Y24" s="12"/>
      <c r="Z24" s="12"/>
      <c r="AA24" s="12"/>
      <c r="AB24" s="12"/>
      <c r="AC24" s="12"/>
    </row>
    <row r="25" spans="2:29" ht="15" x14ac:dyDescent="0.2">
      <c r="B25" s="198" t="s">
        <v>64</v>
      </c>
      <c r="C25" s="201">
        <v>266306854</v>
      </c>
      <c r="D25" s="75"/>
      <c r="E25" s="204">
        <v>46107</v>
      </c>
      <c r="F25" s="60"/>
      <c r="G25" s="59">
        <v>46071</v>
      </c>
      <c r="H25" s="60">
        <v>1822260376</v>
      </c>
      <c r="I25" s="60">
        <v>2022260479</v>
      </c>
      <c r="J25" s="61">
        <v>15239.29</v>
      </c>
      <c r="K25" s="62" t="s">
        <v>65</v>
      </c>
      <c r="L25" s="138"/>
      <c r="M25" s="139"/>
      <c r="N25" s="122">
        <v>22.795000000000002</v>
      </c>
      <c r="O25" s="122"/>
      <c r="P25" s="29"/>
      <c r="Q25" s="29"/>
      <c r="R25" s="29"/>
      <c r="S25" s="29"/>
      <c r="T25" s="29"/>
      <c r="U25" s="29"/>
      <c r="V25" s="137"/>
      <c r="X25" s="12"/>
      <c r="Y25" s="12"/>
      <c r="Z25" s="12"/>
      <c r="AA25" s="12"/>
      <c r="AB25" s="12"/>
      <c r="AC25" s="12"/>
    </row>
    <row r="26" spans="2:29" ht="15" x14ac:dyDescent="0.2">
      <c r="B26" s="199"/>
      <c r="C26" s="202"/>
      <c r="D26" s="63"/>
      <c r="E26" s="205"/>
      <c r="F26" s="65"/>
      <c r="G26" s="64">
        <v>46071</v>
      </c>
      <c r="H26" s="65">
        <v>1822260375</v>
      </c>
      <c r="I26" s="65">
        <v>2022260483</v>
      </c>
      <c r="J26" s="66">
        <v>16199.72</v>
      </c>
      <c r="K26" s="67" t="s">
        <v>66</v>
      </c>
      <c r="L26" s="140"/>
      <c r="M26" s="141"/>
      <c r="N26" s="121">
        <v>11.4</v>
      </c>
      <c r="O26" s="121">
        <v>11.4</v>
      </c>
      <c r="P26" s="19"/>
      <c r="Q26" s="19"/>
      <c r="R26" s="19"/>
      <c r="S26" s="19"/>
      <c r="T26" s="19"/>
      <c r="U26" s="19"/>
      <c r="V26" s="135"/>
      <c r="X26" s="12"/>
      <c r="Y26" s="12"/>
      <c r="Z26" s="12"/>
      <c r="AA26" s="12"/>
      <c r="AB26" s="12"/>
      <c r="AC26" s="12"/>
    </row>
    <row r="27" spans="2:29" ht="15" x14ac:dyDescent="0.2">
      <c r="B27" s="199"/>
      <c r="C27" s="202"/>
      <c r="D27" s="63"/>
      <c r="E27" s="205"/>
      <c r="F27" s="65"/>
      <c r="G27" s="64">
        <v>46072</v>
      </c>
      <c r="H27" s="65">
        <v>1822260378</v>
      </c>
      <c r="I27" s="65">
        <v>2022260489</v>
      </c>
      <c r="J27" s="66">
        <v>15242.12</v>
      </c>
      <c r="K27" s="67" t="s">
        <v>67</v>
      </c>
      <c r="L27" s="140"/>
      <c r="M27" s="141"/>
      <c r="N27" s="121">
        <v>22.8</v>
      </c>
      <c r="O27" s="121"/>
      <c r="P27" s="19"/>
      <c r="Q27" s="19"/>
      <c r="R27" s="19"/>
      <c r="S27" s="19"/>
      <c r="T27" s="19"/>
      <c r="U27" s="19"/>
      <c r="V27" s="135"/>
      <c r="X27" s="12"/>
      <c r="Y27" s="12"/>
      <c r="Z27" s="12"/>
      <c r="AA27" s="12"/>
      <c r="AB27" s="12"/>
      <c r="AC27" s="12"/>
    </row>
    <row r="28" spans="2:29" ht="15.75" thickBot="1" x14ac:dyDescent="0.25">
      <c r="B28" s="200"/>
      <c r="C28" s="203"/>
      <c r="D28" s="68"/>
      <c r="E28" s="206"/>
      <c r="F28" s="70"/>
      <c r="G28" s="69">
        <v>46072</v>
      </c>
      <c r="H28" s="70">
        <v>1822260377</v>
      </c>
      <c r="I28" s="70">
        <v>2022260497</v>
      </c>
      <c r="J28" s="71">
        <v>15720.92</v>
      </c>
      <c r="K28" s="72" t="s">
        <v>68</v>
      </c>
      <c r="L28" s="142"/>
      <c r="M28" s="143"/>
      <c r="N28" s="123">
        <v>17.100000000000001</v>
      </c>
      <c r="O28" s="123">
        <v>5.7</v>
      </c>
      <c r="P28" s="30"/>
      <c r="Q28" s="30"/>
      <c r="R28" s="30"/>
      <c r="S28" s="30"/>
      <c r="T28" s="30"/>
      <c r="U28" s="30"/>
      <c r="V28" s="136"/>
      <c r="W28" s="12"/>
      <c r="X28" s="12"/>
      <c r="Y28" s="12"/>
      <c r="Z28" s="12"/>
      <c r="AA28" s="12"/>
      <c r="AB28" s="12"/>
      <c r="AC28" s="12"/>
    </row>
    <row r="29" spans="2:29" ht="14.25" thickBot="1" x14ac:dyDescent="0.2">
      <c r="B29" s="2"/>
      <c r="C29" s="4"/>
      <c r="D29" s="18"/>
      <c r="E29" s="18"/>
      <c r="F29" s="38"/>
      <c r="G29" s="2"/>
      <c r="H29" s="2"/>
      <c r="I29" s="2"/>
      <c r="J29" s="2"/>
      <c r="K29" s="3" t="s">
        <v>29</v>
      </c>
      <c r="L29" s="5">
        <v>159.6</v>
      </c>
      <c r="M29" s="5">
        <v>104</v>
      </c>
      <c r="N29" s="5">
        <v>210.9</v>
      </c>
      <c r="O29" s="5">
        <v>74.099999999999994</v>
      </c>
      <c r="P29" s="5">
        <v>17.100000000000001</v>
      </c>
      <c r="Q29" s="5">
        <v>142.5</v>
      </c>
      <c r="R29" s="5">
        <v>17.100000000000001</v>
      </c>
      <c r="S29" s="5">
        <v>5.7</v>
      </c>
      <c r="T29" s="5">
        <v>90</v>
      </c>
      <c r="U29" s="5">
        <v>6</v>
      </c>
      <c r="V29" s="5">
        <v>2</v>
      </c>
    </row>
    <row r="30" spans="2:29" ht="14.25" thickBot="1" x14ac:dyDescent="0.2">
      <c r="B30" s="2"/>
      <c r="C30" s="4"/>
      <c r="D30" s="18"/>
      <c r="E30" s="18"/>
      <c r="F30" s="38"/>
      <c r="G30" s="2"/>
      <c r="H30" s="2"/>
      <c r="I30" s="2"/>
      <c r="J30" s="2"/>
      <c r="K30" s="1" t="s">
        <v>30</v>
      </c>
      <c r="L30" s="5">
        <f>SUM(L5:L28)</f>
        <v>159.60000000000002</v>
      </c>
      <c r="M30" s="5">
        <f>SUM(M5:M28)</f>
        <v>104</v>
      </c>
      <c r="N30" s="5">
        <f>SUM(N5:N28)</f>
        <v>210.887</v>
      </c>
      <c r="O30" s="5">
        <f>SUM(O5:O28)</f>
        <v>74.097999999999999</v>
      </c>
      <c r="P30" s="5">
        <f>SUM(P5:P28)</f>
        <v>16.914999999999999</v>
      </c>
      <c r="Q30" s="5">
        <f>SUM(Q5:Q28)</f>
        <v>142.49</v>
      </c>
      <c r="R30" s="5">
        <f>SUM(R5:R28)</f>
        <v>17.079999999999998</v>
      </c>
      <c r="S30" s="5">
        <f>SUM(S5:S28)</f>
        <v>5.4969999999999999</v>
      </c>
      <c r="T30" s="5">
        <f>SUM(T5:T28)</f>
        <v>89.701999999999998</v>
      </c>
      <c r="U30" s="5">
        <f>SUM(U5:U28)</f>
        <v>5.9749999999999996</v>
      </c>
      <c r="V30" s="5">
        <f>SUM(V5:V28)</f>
        <v>2</v>
      </c>
    </row>
    <row r="31" spans="2:29" ht="14.25" thickBot="1" x14ac:dyDescent="0.2">
      <c r="B31" s="2"/>
      <c r="C31" s="4"/>
      <c r="D31" s="18"/>
      <c r="E31" s="18"/>
      <c r="F31" s="38"/>
      <c r="G31" s="2"/>
      <c r="H31" s="2"/>
      <c r="I31" s="2"/>
      <c r="J31" s="2"/>
      <c r="K31" s="11" t="s">
        <v>31</v>
      </c>
      <c r="L31" s="20">
        <f>L29-L30</f>
        <v>0</v>
      </c>
      <c r="M31" s="20">
        <f t="shared" ref="M31:V31" si="0">M29-M30</f>
        <v>0</v>
      </c>
      <c r="N31" s="126">
        <f t="shared" si="0"/>
        <v>1.300000000000523E-2</v>
      </c>
      <c r="O31" s="126">
        <f t="shared" si="0"/>
        <v>1.9999999999953388E-3</v>
      </c>
      <c r="P31" s="126">
        <f t="shared" si="0"/>
        <v>0.18500000000000227</v>
      </c>
      <c r="Q31" s="126">
        <f t="shared" si="0"/>
        <v>9.9999999999909051E-3</v>
      </c>
      <c r="R31" s="126">
        <f t="shared" si="0"/>
        <v>2.0000000000003126E-2</v>
      </c>
      <c r="S31" s="126">
        <f t="shared" si="0"/>
        <v>0.20300000000000029</v>
      </c>
      <c r="T31" s="126">
        <f t="shared" si="0"/>
        <v>0.29800000000000182</v>
      </c>
      <c r="U31" s="126">
        <f t="shared" si="0"/>
        <v>2.5000000000000355E-2</v>
      </c>
      <c r="V31" s="126">
        <f t="shared" si="0"/>
        <v>0</v>
      </c>
    </row>
    <row r="32" spans="2:29" x14ac:dyDescent="0.15">
      <c r="D32" s="18"/>
      <c r="E32" s="18"/>
      <c r="F32" s="38"/>
    </row>
  </sheetData>
  <autoFilter ref="B2:AC28" xr:uid="{00000000-0009-0000-0000-000000000000}"/>
  <mergeCells count="20">
    <mergeCell ref="B19:B24"/>
    <mergeCell ref="C19:C24"/>
    <mergeCell ref="E19:E24"/>
    <mergeCell ref="B25:B28"/>
    <mergeCell ref="C25:C28"/>
    <mergeCell ref="E25:E28"/>
    <mergeCell ref="B14:B17"/>
    <mergeCell ref="C14:C17"/>
    <mergeCell ref="E14:E17"/>
    <mergeCell ref="E5:E8"/>
    <mergeCell ref="L3:M3"/>
    <mergeCell ref="A5:A9"/>
    <mergeCell ref="A10:A13"/>
    <mergeCell ref="N3:V3"/>
    <mergeCell ref="B5:B9"/>
    <mergeCell ref="B10:B13"/>
    <mergeCell ref="C10:C13"/>
    <mergeCell ref="C5:C8"/>
    <mergeCell ref="D5:D8"/>
    <mergeCell ref="D10:D13"/>
  </mergeCells>
  <hyperlinks>
    <hyperlink ref="C9" r:id="rId1" display="LOT1\262995800_BL 1.pdf" xr:uid="{00000000-0004-0000-0000-000000000000}"/>
    <hyperlink ref="B5:B9" r:id="rId2" display="LOT1" xr:uid="{00000000-0004-0000-0000-000001000000}"/>
    <hyperlink ref="C5:C8" r:id="rId3" display="LOT1\262995664_BL4.pdf" xr:uid="{00000000-0004-0000-0000-000002000000}"/>
    <hyperlink ref="X5" r:id="rId4" display="LOT1\Inspection certificate 3.1 DN0500-PN10-SN10000.pdf" xr:uid="{00000000-0004-0000-0000-000003000000}"/>
    <hyperlink ref="Y8" r:id="rId5" display="LOT1\Inspection certificate 3.1 DN0900-PN01-SN10000.pdf" xr:uid="{00000000-0004-0000-0000-000004000000}"/>
    <hyperlink ref="B10:B13" r:id="rId6" display="LOT2" xr:uid="{00000000-0004-0000-0000-000005000000}"/>
    <hyperlink ref="C10:C13" r:id="rId7" display="LOT2\BL265128801 .pdf" xr:uid="{00000000-0004-0000-0000-000006000000}"/>
    <hyperlink ref="I8" r:id="rId8" display="LOT1\2022254241_19.12.2025 EN.pdf" xr:uid="{00000000-0004-0000-0000-000007000000}"/>
    <hyperlink ref="I12" r:id="rId9" display="LOT2\2022260185_27.01.2026 EN.pdf" xr:uid="{00000000-0004-0000-0000-000008000000}"/>
    <hyperlink ref="I13" r:id="rId10" display="LOT2\2022260191_27.01.2026 EN.pdf" xr:uid="{00000000-0004-0000-0000-000009000000}"/>
    <hyperlink ref="C14" r:id="rId11" display="LOT3\LOT3 A\BL LOT 3a 265129341 .pdf" xr:uid="{00000000-0004-0000-0000-00000A000000}"/>
    <hyperlink ref="C18" r:id="rId12" display="LOT3\LOT3 B\BL LOT 3b 265567127.pdf" xr:uid="{00000000-0004-0000-0000-00000B000000}"/>
    <hyperlink ref="C19" r:id="rId13" display="LOT 4\BL Lot 4 265129525.pdf" xr:uid="{00000000-0004-0000-0000-00000C000000}"/>
    <hyperlink ref="B19" r:id="rId14" xr:uid="{00000000-0004-0000-0000-00000D000000}"/>
    <hyperlink ref="C25" r:id="rId15" display="LOT 5\DB_aabhhbfhgdah0x056A.pdf" xr:uid="{00000000-0004-0000-0000-00000E000000}"/>
  </hyperlinks>
  <pageMargins left="0.7" right="0.7" top="0.75" bottom="0.75" header="0.3" footer="0.3"/>
  <pageSetup paperSize="9" orientation="portrait" horizontalDpi="0" verticalDpi="0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ISKOOR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Nurit</dc:creator>
  <cp:lastModifiedBy>Nurit</cp:lastModifiedBy>
  <dcterms:created xsi:type="dcterms:W3CDTF">2026-02-05T12:51:45Z</dcterms:created>
  <dcterms:modified xsi:type="dcterms:W3CDTF">2026-03-16T10:26:17Z</dcterms:modified>
</cp:coreProperties>
</file>